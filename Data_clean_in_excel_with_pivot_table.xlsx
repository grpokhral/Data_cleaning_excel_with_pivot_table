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rahulpokhrel/Desktop/Data_clean/"/>
    </mc:Choice>
  </mc:AlternateContent>
  <xr:revisionPtr revIDLastSave="0" documentId="13_ncr:9_{FC62459C-C0C8-BC49-B1EA-316A44C25478}" xr6:coauthVersionLast="47" xr6:coauthVersionMax="47" xr10:uidLastSave="{00000000-0000-0000-0000-000000000000}"/>
  <bookViews>
    <workbookView xWindow="0" yWindow="640" windowWidth="25600" windowHeight="16000" activeTab="2" xr2:uid="{ED10DE1A-4959-B844-8D7C-2C628F6B83F8}"/>
  </bookViews>
  <sheets>
    <sheet name="raw_data" sheetId="1" r:id="rId1"/>
    <sheet name="raw_data_clean" sheetId="2" r:id="rId2"/>
    <sheet name="pivot_table" sheetId="3" r:id="rId3"/>
  </sheets>
  <calcPr calcId="181029"/>
  <pivotCaches>
    <pivotCache cacheId="240" r:id="rId4"/>
  </pivotCaches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L3" i="2" l="1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" i="2"/>
</calcChain>
</file>

<file path=xl/sharedStrings.xml><?xml version="1.0" encoding="utf-8"?>
<sst xmlns="http://purl.oclc.org/ooxml/spreadsheetml/main" count="203" uniqueCount="110">
  <si>
    <t>Rank</t>
  </si>
  <si>
    <t>Peak</t>
  </si>
  <si>
    <t>All Time Peak</t>
  </si>
  <si>
    <t>Artist</t>
  </si>
  <si>
    <t>Tour title</t>
  </si>
  <si>
    <t>Year(s)</t>
  </si>
  <si>
    <t>Shows</t>
  </si>
  <si>
    <t>Average gross</t>
  </si>
  <si>
    <t>Ref.</t>
  </si>
  <si>
    <t>Taylor Swift</t>
  </si>
  <si>
    <t>The Eras Tour ‚Ä†</t>
  </si>
  <si>
    <t>2023‚Äì2024</t>
  </si>
  <si>
    <t>[1]</t>
  </si>
  <si>
    <t>7[2]</t>
  </si>
  <si>
    <t>Beyonc√©</t>
  </si>
  <si>
    <t>Renaissance World Tour</t>
  </si>
  <si>
    <t>[3]</t>
  </si>
  <si>
    <t>1[4]</t>
  </si>
  <si>
    <t>2[5]</t>
  </si>
  <si>
    <t>Madonna</t>
  </si>
  <si>
    <t>Sticky &amp; Sweet Tour ‚Ä°[4][a]</t>
  </si>
  <si>
    <t>2008‚Äì2009</t>
  </si>
  <si>
    <t>[6]</t>
  </si>
  <si>
    <t>2[7]</t>
  </si>
  <si>
    <t>10[7]</t>
  </si>
  <si>
    <t>Pink</t>
  </si>
  <si>
    <t>Beautiful Trauma World Tour</t>
  </si>
  <si>
    <t>2018‚Äì2019</t>
  </si>
  <si>
    <t>[7]</t>
  </si>
  <si>
    <t>2[4]</t>
  </si>
  <si>
    <t>Reputation Stadium Tour</t>
  </si>
  <si>
    <t>[8]</t>
  </si>
  <si>
    <t>10[9]</t>
  </si>
  <si>
    <t>The MDNA Tour</t>
  </si>
  <si>
    <t>[9]</t>
  </si>
  <si>
    <t>2[10]</t>
  </si>
  <si>
    <t>Celine Dion</t>
  </si>
  <si>
    <t>Taking Chances World Tour</t>
  </si>
  <si>
    <t>[11]</t>
  </si>
  <si>
    <t>Summer Carnival ‚Ä†</t>
  </si>
  <si>
    <t>[12]</t>
  </si>
  <si>
    <t>The Formation World Tour</t>
  </si>
  <si>
    <t>[13]</t>
  </si>
  <si>
    <t>The 1989 World Tour</t>
  </si>
  <si>
    <t>[14]</t>
  </si>
  <si>
    <t>$229,100,000[b]</t>
  </si>
  <si>
    <t>The Mrs. Carter Show World Tour</t>
  </si>
  <si>
    <t>2013‚Äì2014</t>
  </si>
  <si>
    <t>[15][16]</t>
  </si>
  <si>
    <t>14[17]</t>
  </si>
  <si>
    <t>Lady Gaga</t>
  </si>
  <si>
    <t>The Monster Ball Tour *</t>
  </si>
  <si>
    <t>2009‚Äì2011</t>
  </si>
  <si>
    <t>[18]</t>
  </si>
  <si>
    <t>Katy Perry</t>
  </si>
  <si>
    <t>Prismatic World Tour</t>
  </si>
  <si>
    <t>2014‚Äì2015</t>
  </si>
  <si>
    <t>[19]</t>
  </si>
  <si>
    <t>1[20]</t>
  </si>
  <si>
    <t>Cher</t>
  </si>
  <si>
    <t>Living Proof: The Farewell Tour ‚Ä°[21][a]</t>
  </si>
  <si>
    <t>2002‚Äì2005</t>
  </si>
  <si>
    <t>[20]</t>
  </si>
  <si>
    <t>2[c]</t>
  </si>
  <si>
    <t>Confessions Tour</t>
  </si>
  <si>
    <t>[5]</t>
  </si>
  <si>
    <t>The Truth About Love Tour</t>
  </si>
  <si>
    <t>[22]</t>
  </si>
  <si>
    <t>Born This Way Ball</t>
  </si>
  <si>
    <t>2012‚Äì2013</t>
  </si>
  <si>
    <t>[d]</t>
  </si>
  <si>
    <t>Rebel Heart Tour</t>
  </si>
  <si>
    <t>2015‚Äì2016</t>
  </si>
  <si>
    <t>[4]</t>
  </si>
  <si>
    <t>$167,700,000[e]</t>
  </si>
  <si>
    <t>Adele</t>
  </si>
  <si>
    <t>Adele Live 2016</t>
  </si>
  <si>
    <t>2016‚Äì2017</t>
  </si>
  <si>
    <t>[25]</t>
  </si>
  <si>
    <t>The Red Tour</t>
  </si>
  <si>
    <t>[26]</t>
  </si>
  <si>
    <t>Adjusted gross (in 2022 dollars)</t>
  </si>
  <si>
    <t>Actual gross</t>
  </si>
  <si>
    <t xml:space="preserve">The Eras Tour </t>
  </si>
  <si>
    <t xml:space="preserve">Summer Carnival </t>
  </si>
  <si>
    <t xml:space="preserve">Sticky &amp; Sweet Tour </t>
  </si>
  <si>
    <t xml:space="preserve">Living Proof: The Farewell Tour </t>
  </si>
  <si>
    <t xml:space="preserve">The Monster Ball Tour </t>
  </si>
  <si>
    <t>Years</t>
  </si>
  <si>
    <t>2023-2024</t>
  </si>
  <si>
    <t>2023</t>
  </si>
  <si>
    <t>2008-2009</t>
  </si>
  <si>
    <t>2018-2019</t>
  </si>
  <si>
    <t>2018</t>
  </si>
  <si>
    <t>2012</t>
  </si>
  <si>
    <t>2016</t>
  </si>
  <si>
    <t>2015</t>
  </si>
  <si>
    <t>2013-2014</t>
  </si>
  <si>
    <t>2009-2011</t>
  </si>
  <si>
    <t>2014-2015</t>
  </si>
  <si>
    <t>2002-2005</t>
  </si>
  <si>
    <t>2006</t>
  </si>
  <si>
    <t>2012-2013</t>
  </si>
  <si>
    <t>2015-2016</t>
  </si>
  <si>
    <t>2016-2017</t>
  </si>
  <si>
    <t>In Millons</t>
  </si>
  <si>
    <t>Average in millons</t>
  </si>
  <si>
    <t>Row Labels</t>
  </si>
  <si>
    <t>Grand Total</t>
  </si>
  <si>
    <t>Sum of Average in millons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</si>
</sst>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6" fontId="0" fillId="0" borderId="0" xfId="0" applyNumberFormat="1"/>
    <xf numFmtId="4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[Data_clean_in_excel_with_pivot_table.xlsx]pivot_table!PivotTable5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%">
                  <a:solidFill>
                    <a:schemeClr val="tx1">
                      <a:lumMod val="75%"/>
                      <a:lumOff val="25%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pivot_table!$A$4:$A$33</c:f>
              <c:multiLvlStrCache>
                <c:ptCount val="20"/>
                <c:lvl>
                  <c:pt idx="0">
                    <c:v>Reputation Stadium Tour</c:v>
                  </c:pt>
                  <c:pt idx="1">
                    <c:v>The 1989 World Tour</c:v>
                  </c:pt>
                  <c:pt idx="2">
                    <c:v>The Eras Tour </c:v>
                  </c:pt>
                  <c:pt idx="3">
                    <c:v>The Red Tour</c:v>
                  </c:pt>
                  <c:pt idx="4">
                    <c:v>Beautiful Trauma World Tour</c:v>
                  </c:pt>
                  <c:pt idx="5">
                    <c:v>Summer Carnival </c:v>
                  </c:pt>
                  <c:pt idx="6">
                    <c:v>The Truth About Love Tour</c:v>
                  </c:pt>
                  <c:pt idx="7">
                    <c:v>Confessions Tour</c:v>
                  </c:pt>
                  <c:pt idx="8">
                    <c:v>Rebel Heart Tour</c:v>
                  </c:pt>
                  <c:pt idx="9">
                    <c:v>Sticky &amp; Sweet Tour </c:v>
                  </c:pt>
                  <c:pt idx="10">
                    <c:v>The MDNA Tour</c:v>
                  </c:pt>
                  <c:pt idx="11">
                    <c:v>Born This Way Ball</c:v>
                  </c:pt>
                  <c:pt idx="12">
                    <c:v>The Monster Ball Tour </c:v>
                  </c:pt>
                  <c:pt idx="13">
                    <c:v>Prismatic World Tour</c:v>
                  </c:pt>
                  <c:pt idx="14">
                    <c:v>Living Proof: The Farewell Tour </c:v>
                  </c:pt>
                  <c:pt idx="15">
                    <c:v>Taking Chances World Tour</c:v>
                  </c:pt>
                  <c:pt idx="16">
                    <c:v>Renaissance World Tour</c:v>
                  </c:pt>
                  <c:pt idx="17">
                    <c:v>The Formation World Tour</c:v>
                  </c:pt>
                  <c:pt idx="18">
                    <c:v>The Mrs. Carter Show World Tour</c:v>
                  </c:pt>
                  <c:pt idx="19">
                    <c:v>Adele Live 2016</c:v>
                  </c:pt>
                </c:lvl>
                <c:lvl>
                  <c:pt idx="0">
                    <c:v>Taylor Swift</c:v>
                  </c:pt>
                  <c:pt idx="4">
                    <c:v>Pink</c:v>
                  </c:pt>
                  <c:pt idx="7">
                    <c:v>Madonna</c:v>
                  </c:pt>
                  <c:pt idx="11">
                    <c:v>Lady Gaga</c:v>
                  </c:pt>
                  <c:pt idx="13">
                    <c:v>Katy Perry</c:v>
                  </c:pt>
                  <c:pt idx="14">
                    <c:v>Cher</c:v>
                  </c:pt>
                  <c:pt idx="15">
                    <c:v>Celine Dion</c:v>
                  </c:pt>
                  <c:pt idx="16">
                    <c:v>Beyonc√©</c:v>
                  </c:pt>
                  <c:pt idx="19">
                    <c:v>Adele</c:v>
                  </c:pt>
                </c:lvl>
              </c:multiLvlStrCache>
            </c:multiLvlStrRef>
          </c:cat>
          <c:val>
            <c:numRef>
              <c:f>pivot_table!$B$4:$B$33</c:f>
              <c:numCache>
                <c:formatCode>#,##0.00_);[Red]\(#,##0.00\)</c:formatCode>
                <c:ptCount val="20"/>
                <c:pt idx="0">
                  <c:v>7.6008462075471703</c:v>
                </c:pt>
                <c:pt idx="1">
                  <c:v>3.6369632705882355</c:v>
                </c:pt>
                <c:pt idx="2">
                  <c:v>13.928571428571429</c:v>
                </c:pt>
                <c:pt idx="3">
                  <c:v>2.1560826627906975</c:v>
                </c:pt>
                <c:pt idx="4">
                  <c:v>2.9150740705128206</c:v>
                </c:pt>
                <c:pt idx="5">
                  <c:v>6.2829268292682929</c:v>
                </c:pt>
                <c:pt idx="6">
                  <c:v>1.6017770915492957</c:v>
                </c:pt>
                <c:pt idx="7">
                  <c:v>4.69361725</c:v>
                </c:pt>
                <c:pt idx="8">
                  <c:v>2.524960426829268</c:v>
                </c:pt>
                <c:pt idx="9">
                  <c:v>6.5955601764705882</c:v>
                </c:pt>
                <c:pt idx="10">
                  <c:v>4.4202101818181818</c:v>
                </c:pt>
                <c:pt idx="11">
                  <c:v>2.1792711326530614</c:v>
                </c:pt>
                <c:pt idx="12">
                  <c:v>1.4546870886699508</c:v>
                </c:pt>
                <c:pt idx="13">
                  <c:v>1.6679258410596025</c:v>
                </c:pt>
                <c:pt idx="14">
                  <c:v>0.92208081538461528</c:v>
                </c:pt>
                <c:pt idx="15">
                  <c:v>2.9155166564885495</c:v>
                </c:pt>
                <c:pt idx="16">
                  <c:v>10.35357142857143</c:v>
                </c:pt>
                <c:pt idx="17">
                  <c:v>6.3726204285714285</c:v>
                </c:pt>
                <c:pt idx="18">
                  <c:v>2.1454764848484849</c:v>
                </c:pt>
                <c:pt idx="19">
                  <c:v>1.6899678181818181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05-3745-A986-E96588F73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22950783"/>
        <c:axId val="1360332928"/>
      </c:barChart>
      <c:catAx>
        <c:axId val="192295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332928"/>
        <c:crosses val="autoZero"/>
        <c:auto val="1"/>
        <c:lblAlgn val="ctr"/>
        <c:lblOffset val="100"/>
        <c:noMultiLvlLbl val="0"/>
      </c:catAx>
      <c:valAx>
        <c:axId val="13603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95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2</xdr:col>
      <xdr:colOff>241300</xdr:colOff>
      <xdr:row>2</xdr:row>
      <xdr:rowOff>190500</xdr:rowOff>
    </xdr:from>
    <xdr:to>
      <xdr:col>18</xdr:col>
      <xdr:colOff>88900</xdr:colOff>
      <xdr:row>23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DF495F-8ECF-22CD-5188-DE3F4857A1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purl.oclc.org/ooxml/officeDocument/relationships/pivotCacheRecords" Target="pivotCacheRecords1.xml"/></Relationships>
</file>

<file path=xl/pivotCache/pivotCacheDefinition1.xml><?xml version="1.0" encoding="utf-8"?>
<pivotCacheDefinition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r:id="rId1" refreshedBy="Rahul Pokhrel" refreshedDateIso="2025-04-30T13:51:28.3300003129988925" createdVersion="8" refreshedVersion="8" minRefreshableVersion="3" recordCount="20" xr:uid="{6788ACAA-D70A-5941-8800-658A9BFDDE72}">
  <cacheSource type="worksheet">
    <worksheetSource ref="A1:L21" sheet="raw_data_clean"/>
  </cacheSource>
  <cacheFields count="12">
    <cacheField name="Rank" numFmtId="0">
      <sharedItems containsSemiMixedTypes="0" containsString="0" containsNumber="1" containsInteger="1" minValue="1" maxValue="20"/>
    </cacheField>
    <cacheField name="Peak" numFmtId="0">
      <sharedItems containsString="0" containsBlank="1" containsNumber="1" containsInteger="1" minValue="1" maxValue="2"/>
    </cacheField>
    <cacheField name="All Time Peak" numFmtId="0">
      <sharedItems containsString="0" containsBlank="1" containsNumber="1" containsInteger="1" minValue="2" maxValue="14"/>
    </cacheField>
    <cacheField name="Actual gross" numFmtId="6">
      <sharedItems containsSemiMixedTypes="0" containsString="0" containsNumber="1" containsInteger="1" minValue="150000000" maxValue="780000000"/>
    </cacheField>
    <cacheField name="Adjusted gross (in 2022 dollars)" numFmtId="6">
      <sharedItems containsSemiMixedTypes="0" containsString="0" containsNumber="1" containsInteger="1" minValue="185423109" maxValue="780000000"/>
    </cacheField>
    <cacheField name="In Millons" numFmtId="6">
      <sharedItems containsSemiMixedTypes="0" containsString="0" containsNumber="1" minValue="185.42310900000001" maxValue="780"/>
    </cacheField>
    <cacheField name="Artist" numFmtId="0">
      <sharedItems count="9">
        <s v="Taylor Swift"/>
        <s v="Beyonc√©"/>
        <s v="Madonna"/>
        <s v="Pink"/>
        <s v="Celine Dion"/>
        <s v="Lady Gaga"/>
        <s v="Katy Perry"/>
        <s v="Cher"/>
        <s v="Adele"/>
      </sharedItems>
    </cacheField>
    <cacheField name="Tour title" numFmtId="0">
      <sharedItems count="20">
        <s v="The Eras Tour "/>
        <s v="Renaissance World Tour"/>
        <s v="Sticky &amp; Sweet Tour "/>
        <s v="Beautiful Trauma World Tour"/>
        <s v="Reputation Stadium Tour"/>
        <s v="The MDNA Tour"/>
        <s v="Taking Chances World Tour"/>
        <s v="Summer Carnival "/>
        <s v="The Formation World Tour"/>
        <s v="The 1989 World Tour"/>
        <s v="The Mrs. Carter Show World Tour"/>
        <s v="The Monster Ball Tour "/>
        <s v="Prismatic World Tour"/>
        <s v="Living Proof: The Farewell Tour "/>
        <s v="Confessions Tour"/>
        <s v="The Truth About Love Tour"/>
        <s v="Born This Way Ball"/>
        <s v="Rebel Heart Tour"/>
        <s v="Adele Live 2016"/>
        <s v="The Red Tour"/>
      </sharedItems>
    </cacheField>
    <cacheField name="Years" numFmtId="0">
      <sharedItems/>
    </cacheField>
    <cacheField name="Shows" numFmtId="0">
      <sharedItems containsSemiMixedTypes="0" containsString="0" containsNumber="1" containsInteger="1" minValue="41" maxValue="325"/>
    </cacheField>
    <cacheField name="Average gross" numFmtId="6">
      <sharedItems containsSemiMixedTypes="0" containsString="0" containsNumber="1" minValue="922080.81538461533" maxValue="13928571.428571429"/>
    </cacheField>
    <cacheField name="Average in millons" numFmtId="40">
      <sharedItems containsSemiMixedTypes="0" containsString="0" containsNumber="1" minValue="0.92208081538461528" maxValue="13.9285714285714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purl.oclc.org/ooxml/spreadsheetml/main" xmlns:r="http://purl.oclc.org/ooxml/officeDocument/relationships" xmlns:mc="http://schemas.openxmlformats.org/markup-compatibility/2006" xmlns:xr="http://schemas.microsoft.com/office/spreadsheetml/2014/revision" mc:Ignorable="xr" count="20">
  <r>
    <n v="1"/>
    <n v="1"/>
    <n v="2"/>
    <n v="780000000"/>
    <n v="780000000"/>
    <n v="780"/>
    <x v="0"/>
    <x v="0"/>
    <s v="2023-2024"/>
    <n v="56"/>
    <n v="13928571.428571429"/>
    <n v="13.928571428571429"/>
  </r>
  <r>
    <n v="2"/>
    <n v="1"/>
    <n v="7"/>
    <n v="579800000"/>
    <n v="579800000"/>
    <n v="579.79999999999995"/>
    <x v="1"/>
    <x v="1"/>
    <s v="2023"/>
    <n v="56"/>
    <n v="10353571.428571429"/>
    <n v="10.35357142857143"/>
  </r>
  <r>
    <n v="3"/>
    <n v="1"/>
    <n v="2"/>
    <n v="411000000"/>
    <n v="560622615"/>
    <n v="560.622615"/>
    <x v="2"/>
    <x v="2"/>
    <s v="2008-2009"/>
    <n v="85"/>
    <n v="6595560.176470588"/>
    <n v="6.5955601764705882"/>
  </r>
  <r>
    <n v="4"/>
    <n v="2"/>
    <n v="10"/>
    <n v="397300000"/>
    <n v="454751555"/>
    <n v="454.751555"/>
    <x v="3"/>
    <x v="3"/>
    <s v="2018-2019"/>
    <n v="156"/>
    <n v="2915074.0705128205"/>
    <n v="2.9150740705128206"/>
  </r>
  <r>
    <n v="5"/>
    <n v="2"/>
    <m/>
    <n v="345675146"/>
    <n v="402844849"/>
    <n v="402.84484900000001"/>
    <x v="0"/>
    <x v="4"/>
    <s v="2018"/>
    <n v="53"/>
    <n v="7600846.2075471701"/>
    <n v="7.6008462075471703"/>
  </r>
  <r>
    <n v="6"/>
    <n v="2"/>
    <n v="10"/>
    <n v="305158363"/>
    <n v="388978496"/>
    <n v="388.97849600000001"/>
    <x v="2"/>
    <x v="5"/>
    <s v="2012"/>
    <n v="88"/>
    <n v="4420210.1818181816"/>
    <n v="4.4202101818181818"/>
  </r>
  <r>
    <n v="7"/>
    <n v="2"/>
    <m/>
    <n v="280000000"/>
    <n v="381932682"/>
    <n v="381.932682"/>
    <x v="4"/>
    <x v="6"/>
    <s v="2008-2009"/>
    <n v="131"/>
    <n v="2915516.6564885494"/>
    <n v="2.9155166564885495"/>
  </r>
  <r>
    <n v="7"/>
    <m/>
    <m/>
    <n v="257600000"/>
    <n v="257600000"/>
    <n v="257.60000000000002"/>
    <x v="3"/>
    <x v="7"/>
    <s v="2023-2024"/>
    <n v="41"/>
    <n v="6282926.8292682925"/>
    <n v="6.2829268292682929"/>
  </r>
  <r>
    <n v="9"/>
    <m/>
    <m/>
    <n v="256084556"/>
    <n v="312258401"/>
    <n v="312.25840099999999"/>
    <x v="1"/>
    <x v="8"/>
    <s v="2016"/>
    <n v="49"/>
    <n v="6372620.4285714282"/>
    <n v="6.3726204285714285"/>
  </r>
  <r>
    <n v="10"/>
    <m/>
    <m/>
    <n v="250400000"/>
    <n v="309141878"/>
    <n v="309.14187800000002"/>
    <x v="0"/>
    <x v="9"/>
    <s v="2015"/>
    <n v="85"/>
    <n v="3636963.2705882355"/>
    <n v="3.6369632705882355"/>
  </r>
  <r>
    <n v="11"/>
    <m/>
    <m/>
    <n v="229100000"/>
    <n v="283202896"/>
    <n v="283.20289600000001"/>
    <x v="1"/>
    <x v="10"/>
    <s v="2013-2014"/>
    <n v="132"/>
    <n v="2145476.4848484849"/>
    <n v="2.1454764848484849"/>
  </r>
  <r>
    <n v="12"/>
    <m/>
    <n v="14"/>
    <n v="227400000"/>
    <n v="295301479"/>
    <n v="295.30147899999997"/>
    <x v="5"/>
    <x v="11"/>
    <s v="2009-2011"/>
    <n v="203"/>
    <n v="1454687.0886699508"/>
    <n v="1.4546870886699508"/>
  </r>
  <r>
    <n v="13"/>
    <m/>
    <m/>
    <n v="204000000"/>
    <n v="251856802"/>
    <n v="251.85680199999999"/>
    <x v="6"/>
    <x v="12"/>
    <s v="2014-2015"/>
    <n v="151"/>
    <n v="1667925.8410596026"/>
    <n v="1.6679258410596025"/>
  </r>
  <r>
    <n v="14"/>
    <n v="1"/>
    <m/>
    <n v="200000000"/>
    <n v="299676265"/>
    <n v="299.676265"/>
    <x v="7"/>
    <x v="13"/>
    <s v="2002-2005"/>
    <n v="325"/>
    <n v="922080.81538461533"/>
    <n v="0.92208081538461528"/>
  </r>
  <r>
    <n v="15"/>
    <n v="2"/>
    <m/>
    <n v="194000000"/>
    <n v="281617035"/>
    <n v="281.61703499999999"/>
    <x v="2"/>
    <x v="14"/>
    <s v="2006"/>
    <n v="60"/>
    <n v="4693617.25"/>
    <n v="4.69361725"/>
  </r>
  <r>
    <n v="16"/>
    <m/>
    <m/>
    <n v="184000000"/>
    <n v="227452347"/>
    <n v="227.452347"/>
    <x v="3"/>
    <x v="15"/>
    <s v="2013-2014"/>
    <n v="142"/>
    <n v="1601777.0915492957"/>
    <n v="1.6017770915492957"/>
  </r>
  <r>
    <n v="17"/>
    <m/>
    <m/>
    <n v="170000000"/>
    <n v="213568571"/>
    <n v="213.56857099999999"/>
    <x v="5"/>
    <x v="16"/>
    <s v="2012-2013"/>
    <n v="98"/>
    <n v="2179271.1326530613"/>
    <n v="2.1792711326530614"/>
  </r>
  <r>
    <n v="18"/>
    <m/>
    <m/>
    <n v="169800000"/>
    <n v="207046755"/>
    <n v="207.04675499999999"/>
    <x v="2"/>
    <x v="17"/>
    <s v="2015-2016"/>
    <n v="82"/>
    <n v="2524960.4268292682"/>
    <n v="2.524960426829268"/>
  </r>
  <r>
    <n v="19"/>
    <m/>
    <m/>
    <n v="167700000"/>
    <n v="204486106"/>
    <n v="204.48610600000001"/>
    <x v="8"/>
    <x v="18"/>
    <s v="2016-2017"/>
    <n v="121"/>
    <n v="1689967.8181818181"/>
    <n v="1.6899678181818181"/>
  </r>
  <r>
    <n v="20"/>
    <m/>
    <m/>
    <n v="150000000"/>
    <n v="185423109"/>
    <n v="185.42310900000001"/>
    <x v="0"/>
    <x v="19"/>
    <s v="2013-2014"/>
    <n v="86"/>
    <n v="2156082.6627906975"/>
    <n v="2.1560826627906975"/>
  </r>
</pivotCacheRecords>
</file>

<file path=xl/pivotTables/_rels/pivotTable1.xml.rels><?xml version="1.0" encoding="UTF-8" standalone="yes"?>
<Relationships xmlns="http://schemas.openxmlformats.org/package/2006/relationships"><Relationship Id="rId1" Type="http://purl.oclc.org/ooxml/officeDocument/relationships/pivotCacheDefinition" Target="../pivotCache/pivotCacheDefinition1.xml"/></Relationships>
</file>

<file path=xl/pivotTables/pivotTable1.xml><?xml version="1.0" encoding="utf-8"?>
<pivotTableDefinition xmlns="http://purl.oclc.org/ooxml/spreadsheetml/main" xmlns:mc="http://schemas.openxmlformats.org/markup-compatibility/2006" xmlns:xr="http://schemas.microsoft.com/office/spreadsheetml/2014/revision" mc:Ignorable="xr" xr:uid="{F7F38C1B-3298-C842-B299-45998A0C5686}" name="PivotTable5" cacheId="2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33" firstHeaderRow="1" firstDataRow="1" firstDataCol="1"/>
  <pivotFields count="12">
    <pivotField showAll="0"/>
    <pivotField showAll="0"/>
    <pivotField showAll="0"/>
    <pivotField numFmtId="6" showAll="0"/>
    <pivotField numFmtId="6" showAll="0"/>
    <pivotField numFmtId="6" showAll="0"/>
    <pivotField axis="axisRow" showAll="0" sortType="descending">
      <items count="10">
        <item x="0"/>
        <item x="3"/>
        <item x="2"/>
        <item x="5"/>
        <item x="6"/>
        <item x="7"/>
        <item x="4"/>
        <item x="1"/>
        <item x="8"/>
        <item t="default"/>
      </items>
    </pivotField>
    <pivotField axis="axisRow" showAll="0">
      <items count="21">
        <item x="18"/>
        <item x="3"/>
        <item x="16"/>
        <item x="14"/>
        <item x="13"/>
        <item x="12"/>
        <item x="17"/>
        <item x="1"/>
        <item x="4"/>
        <item x="2"/>
        <item x="7"/>
        <item x="6"/>
        <item x="9"/>
        <item x="0"/>
        <item x="8"/>
        <item x="5"/>
        <item x="11"/>
        <item x="10"/>
        <item x="19"/>
        <item x="15"/>
        <item t="default"/>
      </items>
    </pivotField>
    <pivotField showAll="0"/>
    <pivotField showAll="0"/>
    <pivotField numFmtId="6" showAll="0"/>
    <pivotField dataField="1" numFmtId="40" showAll="0"/>
  </pivotFields>
  <rowFields count="2">
    <field x="6"/>
    <field x="7"/>
  </rowFields>
  <rowItems count="30">
    <i>
      <x/>
    </i>
    <i r="1">
      <x v="8"/>
    </i>
    <i r="1">
      <x v="12"/>
    </i>
    <i r="1">
      <x v="13"/>
    </i>
    <i r="1">
      <x v="18"/>
    </i>
    <i>
      <x v="1"/>
    </i>
    <i r="1">
      <x v="1"/>
    </i>
    <i r="1">
      <x v="10"/>
    </i>
    <i r="1">
      <x v="19"/>
    </i>
    <i>
      <x v="2"/>
    </i>
    <i r="1">
      <x v="3"/>
    </i>
    <i r="1">
      <x v="6"/>
    </i>
    <i r="1">
      <x v="9"/>
    </i>
    <i r="1">
      <x v="15"/>
    </i>
    <i>
      <x v="3"/>
    </i>
    <i r="1">
      <x v="2"/>
    </i>
    <i r="1">
      <x v="16"/>
    </i>
    <i>
      <x v="4"/>
    </i>
    <i r="1">
      <x v="5"/>
    </i>
    <i>
      <x v="5"/>
    </i>
    <i r="1">
      <x v="4"/>
    </i>
    <i>
      <x v="6"/>
    </i>
    <i r="1">
      <x v="11"/>
    </i>
    <i>
      <x v="7"/>
    </i>
    <i r="1">
      <x v="7"/>
    </i>
    <i r="1">
      <x v="14"/>
    </i>
    <i r="1">
      <x v="17"/>
    </i>
    <i>
      <x v="8"/>
    </i>
    <i r="1">
      <x/>
    </i>
    <i t="grand">
      <x/>
    </i>
  </rowItems>
  <colItems count="1">
    <i/>
  </colItems>
  <dataFields count="1">
    <dataField name="Sum of Average in millons" fld="11" baseField="0" baseItem="0" numFmtId="4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pivotTable" Target="../pivotTables/pivot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B9908-F92D-6948-9C3D-F6D84CF116D0}">
  <dimension ref="A1:K21"/>
  <sheetViews>
    <sheetView workbookViewId="0">
      <selection activeCell="E11" sqref="E11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12.33203125" bestFit="1" customWidth="1"/>
    <col min="4" max="4" width="19.33203125" customWidth="1"/>
    <col min="5" max="5" width="28.6640625" bestFit="1" customWidth="1"/>
    <col min="6" max="6" width="11" bestFit="1" customWidth="1"/>
    <col min="7" max="7" width="35.1640625" bestFit="1" customWidth="1"/>
    <col min="8" max="8" width="11.33203125" bestFit="1" customWidth="1"/>
    <col min="9" max="9" width="6.5" bestFit="1" customWidth="1"/>
    <col min="10" max="10" width="12.6640625" bestFit="1" customWidth="1"/>
    <col min="11" max="11" width="7.8320312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82</v>
      </c>
      <c r="E1" t="s">
        <v>81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">
      <c r="A2">
        <v>1</v>
      </c>
      <c r="B2">
        <v>1</v>
      </c>
      <c r="C2">
        <v>2</v>
      </c>
      <c r="D2" s="1">
        <v>780000000</v>
      </c>
      <c r="E2" s="1">
        <v>780000000</v>
      </c>
      <c r="F2" t="s">
        <v>9</v>
      </c>
      <c r="G2" t="s">
        <v>10</v>
      </c>
      <c r="H2" t="s">
        <v>11</v>
      </c>
      <c r="I2">
        <v>56</v>
      </c>
      <c r="J2" s="1">
        <v>13928571</v>
      </c>
      <c r="K2" t="s">
        <v>12</v>
      </c>
    </row>
    <row r="3" spans="1:11" x14ac:dyDescent="0.2">
      <c r="A3">
        <v>2</v>
      </c>
      <c r="B3">
        <v>1</v>
      </c>
      <c r="C3" t="s">
        <v>13</v>
      </c>
      <c r="D3" s="1">
        <v>579800000</v>
      </c>
      <c r="E3" s="1">
        <v>579800000</v>
      </c>
      <c r="F3" t="s">
        <v>14</v>
      </c>
      <c r="G3" t="s">
        <v>15</v>
      </c>
      <c r="H3">
        <v>2023</v>
      </c>
      <c r="I3">
        <v>56</v>
      </c>
      <c r="J3" s="1">
        <v>10353571</v>
      </c>
      <c r="K3" t="s">
        <v>16</v>
      </c>
    </row>
    <row r="4" spans="1:11" x14ac:dyDescent="0.2">
      <c r="A4">
        <v>3</v>
      </c>
      <c r="B4" t="s">
        <v>17</v>
      </c>
      <c r="C4" t="s">
        <v>18</v>
      </c>
      <c r="D4" s="1">
        <v>411000000</v>
      </c>
      <c r="E4" s="1">
        <v>560622615</v>
      </c>
      <c r="F4" t="s">
        <v>19</v>
      </c>
      <c r="G4" t="s">
        <v>20</v>
      </c>
      <c r="H4" t="s">
        <v>21</v>
      </c>
      <c r="I4">
        <v>85</v>
      </c>
      <c r="J4" s="1">
        <v>4835294</v>
      </c>
      <c r="K4" t="s">
        <v>22</v>
      </c>
    </row>
    <row r="5" spans="1:11" x14ac:dyDescent="0.2">
      <c r="A5">
        <v>4</v>
      </c>
      <c r="B5" t="s">
        <v>23</v>
      </c>
      <c r="C5" t="s">
        <v>24</v>
      </c>
      <c r="D5" s="1">
        <v>397300000</v>
      </c>
      <c r="E5" s="1">
        <v>454751555</v>
      </c>
      <c r="F5" t="s">
        <v>25</v>
      </c>
      <c r="G5" t="s">
        <v>26</v>
      </c>
      <c r="H5" t="s">
        <v>27</v>
      </c>
      <c r="I5">
        <v>156</v>
      </c>
      <c r="J5" s="1">
        <v>2546795</v>
      </c>
      <c r="K5" t="s">
        <v>28</v>
      </c>
    </row>
    <row r="6" spans="1:11" x14ac:dyDescent="0.2">
      <c r="A6">
        <v>5</v>
      </c>
      <c r="B6" t="s">
        <v>29</v>
      </c>
      <c r="D6" s="1">
        <v>345675146</v>
      </c>
      <c r="E6" s="1">
        <v>402844849</v>
      </c>
      <c r="F6" t="s">
        <v>9</v>
      </c>
      <c r="G6" t="s">
        <v>30</v>
      </c>
      <c r="H6">
        <v>2018</v>
      </c>
      <c r="I6">
        <v>53</v>
      </c>
      <c r="J6" s="1">
        <v>6522173</v>
      </c>
      <c r="K6" t="s">
        <v>31</v>
      </c>
    </row>
    <row r="7" spans="1:11" x14ac:dyDescent="0.2">
      <c r="A7">
        <v>6</v>
      </c>
      <c r="B7" t="s">
        <v>29</v>
      </c>
      <c r="C7" t="s">
        <v>32</v>
      </c>
      <c r="D7" s="1">
        <v>305158363</v>
      </c>
      <c r="E7" s="1">
        <v>388978496</v>
      </c>
      <c r="F7" t="s">
        <v>19</v>
      </c>
      <c r="G7" t="s">
        <v>33</v>
      </c>
      <c r="H7">
        <v>2012</v>
      </c>
      <c r="I7">
        <v>88</v>
      </c>
      <c r="J7" s="1">
        <v>3467709</v>
      </c>
      <c r="K7" t="s">
        <v>34</v>
      </c>
    </row>
    <row r="8" spans="1:11" x14ac:dyDescent="0.2">
      <c r="A8">
        <v>7</v>
      </c>
      <c r="B8" t="s">
        <v>35</v>
      </c>
      <c r="D8" s="1">
        <v>280000000</v>
      </c>
      <c r="E8" s="1">
        <v>381932682</v>
      </c>
      <c r="F8" t="s">
        <v>36</v>
      </c>
      <c r="G8" t="s">
        <v>37</v>
      </c>
      <c r="H8" t="s">
        <v>21</v>
      </c>
      <c r="I8">
        <v>131</v>
      </c>
      <c r="J8" s="1">
        <v>2137405</v>
      </c>
      <c r="K8" t="s">
        <v>38</v>
      </c>
    </row>
    <row r="9" spans="1:11" x14ac:dyDescent="0.2">
      <c r="A9">
        <v>7</v>
      </c>
      <c r="D9" s="1">
        <v>257600000</v>
      </c>
      <c r="E9" s="1">
        <v>257600000</v>
      </c>
      <c r="F9" t="s">
        <v>25</v>
      </c>
      <c r="G9" t="s">
        <v>39</v>
      </c>
      <c r="H9" t="s">
        <v>11</v>
      </c>
      <c r="I9">
        <v>41</v>
      </c>
      <c r="J9" s="1">
        <v>6282927</v>
      </c>
      <c r="K9" t="s">
        <v>40</v>
      </c>
    </row>
    <row r="10" spans="1:11" x14ac:dyDescent="0.2">
      <c r="A10">
        <v>9</v>
      </c>
      <c r="D10" s="1">
        <v>256084556</v>
      </c>
      <c r="E10" s="1">
        <v>312258401</v>
      </c>
      <c r="F10" t="s">
        <v>14</v>
      </c>
      <c r="G10" t="s">
        <v>41</v>
      </c>
      <c r="H10">
        <v>2016</v>
      </c>
      <c r="I10">
        <v>49</v>
      </c>
      <c r="J10" s="1">
        <v>5226215</v>
      </c>
      <c r="K10" t="s">
        <v>42</v>
      </c>
    </row>
    <row r="11" spans="1:11" x14ac:dyDescent="0.2">
      <c r="A11">
        <v>10</v>
      </c>
      <c r="D11" s="1">
        <v>250400000</v>
      </c>
      <c r="E11" s="1">
        <v>309141878</v>
      </c>
      <c r="F11" t="s">
        <v>9</v>
      </c>
      <c r="G11" t="s">
        <v>43</v>
      </c>
      <c r="H11">
        <v>2015</v>
      </c>
      <c r="I11">
        <v>85</v>
      </c>
      <c r="J11" s="1">
        <v>2945882</v>
      </c>
      <c r="K11" t="s">
        <v>44</v>
      </c>
    </row>
    <row r="12" spans="1:11" x14ac:dyDescent="0.2">
      <c r="A12">
        <v>11</v>
      </c>
      <c r="D12" t="s">
        <v>45</v>
      </c>
      <c r="E12" s="1">
        <v>283202896</v>
      </c>
      <c r="F12" t="s">
        <v>14</v>
      </c>
      <c r="G12" t="s">
        <v>46</v>
      </c>
      <c r="H12" t="s">
        <v>47</v>
      </c>
      <c r="I12">
        <v>132</v>
      </c>
      <c r="J12" s="1">
        <v>1735606</v>
      </c>
      <c r="K12" t="s">
        <v>48</v>
      </c>
    </row>
    <row r="13" spans="1:11" x14ac:dyDescent="0.2">
      <c r="A13">
        <v>12</v>
      </c>
      <c r="C13" t="s">
        <v>49</v>
      </c>
      <c r="D13" s="1">
        <v>227400000</v>
      </c>
      <c r="E13" s="1">
        <v>295301479</v>
      </c>
      <c r="F13" t="s">
        <v>50</v>
      </c>
      <c r="G13" t="s">
        <v>51</v>
      </c>
      <c r="H13" t="s">
        <v>52</v>
      </c>
      <c r="I13">
        <v>203</v>
      </c>
      <c r="J13" s="1">
        <v>1118227</v>
      </c>
      <c r="K13" t="s">
        <v>53</v>
      </c>
    </row>
    <row r="14" spans="1:11" x14ac:dyDescent="0.2">
      <c r="A14">
        <v>13</v>
      </c>
      <c r="D14" s="1">
        <v>204000000</v>
      </c>
      <c r="E14" s="1">
        <v>251856802</v>
      </c>
      <c r="F14" t="s">
        <v>54</v>
      </c>
      <c r="G14" t="s">
        <v>55</v>
      </c>
      <c r="H14" t="s">
        <v>56</v>
      </c>
      <c r="I14">
        <v>151</v>
      </c>
      <c r="J14" s="1">
        <v>1350993</v>
      </c>
      <c r="K14" t="s">
        <v>57</v>
      </c>
    </row>
    <row r="15" spans="1:11" x14ac:dyDescent="0.2">
      <c r="A15">
        <v>14</v>
      </c>
      <c r="B15" t="s">
        <v>58</v>
      </c>
      <c r="D15" s="1">
        <v>200000000</v>
      </c>
      <c r="E15" s="1">
        <v>299676265</v>
      </c>
      <c r="F15" t="s">
        <v>59</v>
      </c>
      <c r="G15" t="s">
        <v>60</v>
      </c>
      <c r="H15" t="s">
        <v>61</v>
      </c>
      <c r="I15">
        <v>325</v>
      </c>
      <c r="J15" s="1">
        <v>615385</v>
      </c>
      <c r="K15" t="s">
        <v>62</v>
      </c>
    </row>
    <row r="16" spans="1:11" x14ac:dyDescent="0.2">
      <c r="A16">
        <v>15</v>
      </c>
      <c r="B16" t="s">
        <v>63</v>
      </c>
      <c r="D16" s="1">
        <v>194000000</v>
      </c>
      <c r="E16" s="1">
        <v>281617035</v>
      </c>
      <c r="F16" t="s">
        <v>19</v>
      </c>
      <c r="G16" t="s">
        <v>64</v>
      </c>
      <c r="H16">
        <v>2006</v>
      </c>
      <c r="I16">
        <v>60</v>
      </c>
      <c r="J16" s="1">
        <v>3233333</v>
      </c>
      <c r="K16" t="s">
        <v>65</v>
      </c>
    </row>
    <row r="17" spans="1:11" x14ac:dyDescent="0.2">
      <c r="A17">
        <v>16</v>
      </c>
      <c r="D17" s="1">
        <v>184000000</v>
      </c>
      <c r="E17" s="1">
        <v>227452347</v>
      </c>
      <c r="F17" t="s">
        <v>25</v>
      </c>
      <c r="G17" t="s">
        <v>66</v>
      </c>
      <c r="H17" t="s">
        <v>47</v>
      </c>
      <c r="I17">
        <v>142</v>
      </c>
      <c r="J17" s="1">
        <v>1295775</v>
      </c>
      <c r="K17" t="s">
        <v>67</v>
      </c>
    </row>
    <row r="18" spans="1:11" x14ac:dyDescent="0.2">
      <c r="A18">
        <v>17</v>
      </c>
      <c r="D18" s="1">
        <v>170000000</v>
      </c>
      <c r="E18" s="1">
        <v>213568571</v>
      </c>
      <c r="F18" t="s">
        <v>50</v>
      </c>
      <c r="G18" t="s">
        <v>68</v>
      </c>
      <c r="H18" t="s">
        <v>69</v>
      </c>
      <c r="I18">
        <v>98</v>
      </c>
      <c r="J18" s="1">
        <v>1734694</v>
      </c>
      <c r="K18" t="s">
        <v>70</v>
      </c>
    </row>
    <row r="19" spans="1:11" x14ac:dyDescent="0.2">
      <c r="A19">
        <v>18</v>
      </c>
      <c r="D19" s="1">
        <v>169800000</v>
      </c>
      <c r="E19" s="1">
        <v>207046755</v>
      </c>
      <c r="F19" t="s">
        <v>19</v>
      </c>
      <c r="G19" t="s">
        <v>71</v>
      </c>
      <c r="H19" t="s">
        <v>72</v>
      </c>
      <c r="I19">
        <v>82</v>
      </c>
      <c r="J19" s="1">
        <v>2070732</v>
      </c>
      <c r="K19" t="s">
        <v>73</v>
      </c>
    </row>
    <row r="20" spans="1:11" x14ac:dyDescent="0.2">
      <c r="A20">
        <v>19</v>
      </c>
      <c r="D20" t="s">
        <v>74</v>
      </c>
      <c r="E20" s="1">
        <v>204486106</v>
      </c>
      <c r="F20" t="s">
        <v>75</v>
      </c>
      <c r="G20" t="s">
        <v>76</v>
      </c>
      <c r="H20" t="s">
        <v>77</v>
      </c>
      <c r="I20">
        <v>121</v>
      </c>
      <c r="J20" s="1">
        <v>1385950</v>
      </c>
      <c r="K20" t="s">
        <v>78</v>
      </c>
    </row>
    <row r="21" spans="1:11" x14ac:dyDescent="0.2">
      <c r="A21">
        <v>20</v>
      </c>
      <c r="D21" s="1">
        <v>150000000</v>
      </c>
      <c r="E21" s="1">
        <v>185423109</v>
      </c>
      <c r="F21" t="s">
        <v>9</v>
      </c>
      <c r="G21" t="s">
        <v>79</v>
      </c>
      <c r="H21" t="s">
        <v>47</v>
      </c>
      <c r="I21">
        <v>86</v>
      </c>
      <c r="J21" s="1">
        <v>1744186</v>
      </c>
      <c r="K21" t="s">
        <v>80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79A6E-A0D3-D84A-A99E-BCA2FF35FB79}">
  <dimension ref="A1:L21"/>
  <sheetViews>
    <sheetView workbookViewId="0">
      <selection activeCell="F10" sqref="F10"/>
    </sheetView>
  </sheetViews>
  <sheetFormatPr baseColWidth="10" defaultRowHeight="16" x14ac:dyDescent="0.2"/>
  <cols>
    <col min="1" max="1" width="5.1640625" bestFit="1" customWidth="1"/>
    <col min="2" max="2" width="5.5" bestFit="1" customWidth="1"/>
    <col min="3" max="3" width="12.33203125" bestFit="1" customWidth="1"/>
    <col min="4" max="4" width="14.5" bestFit="1" customWidth="1"/>
    <col min="5" max="5" width="27.5" bestFit="1" customWidth="1"/>
    <col min="6" max="6" width="27.5" customWidth="1"/>
    <col min="7" max="7" width="15.5" customWidth="1"/>
    <col min="8" max="8" width="35.1640625" bestFit="1" customWidth="1"/>
    <col min="9" max="9" width="11.33203125" customWidth="1"/>
    <col min="10" max="10" width="6.5" bestFit="1" customWidth="1"/>
    <col min="11" max="11" width="15.33203125" customWidth="1"/>
    <col min="12" max="12" width="16.3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82</v>
      </c>
      <c r="E1" t="s">
        <v>81</v>
      </c>
      <c r="F1" t="s">
        <v>105</v>
      </c>
      <c r="G1" t="s">
        <v>3</v>
      </c>
      <c r="H1" t="s">
        <v>4</v>
      </c>
      <c r="I1" t="s">
        <v>88</v>
      </c>
      <c r="J1" t="s">
        <v>6</v>
      </c>
      <c r="K1" t="s">
        <v>7</v>
      </c>
      <c r="L1" t="s">
        <v>106</v>
      </c>
    </row>
    <row r="2" spans="1:12" x14ac:dyDescent="0.2">
      <c r="A2">
        <v>1</v>
      </c>
      <c r="B2">
        <v>1</v>
      </c>
      <c r="C2">
        <v>2</v>
      </c>
      <c r="D2" s="1">
        <v>780000000</v>
      </c>
      <c r="E2" s="1">
        <v>780000000</v>
      </c>
      <c r="F2" s="1">
        <f>E2/1000000</f>
        <v>780</v>
      </c>
      <c r="G2" t="s">
        <v>9</v>
      </c>
      <c r="H2" t="s">
        <v>83</v>
      </c>
      <c r="I2" t="s">
        <v>89</v>
      </c>
      <c r="J2">
        <v>56</v>
      </c>
      <c r="K2" s="1">
        <v>13928571.428571429</v>
      </c>
      <c r="L2" s="2">
        <f>K2/1000000</f>
        <v>13.928571428571429</v>
      </c>
    </row>
    <row r="3" spans="1:12" x14ac:dyDescent="0.2">
      <c r="A3">
        <v>2</v>
      </c>
      <c r="B3">
        <v>1</v>
      </c>
      <c r="C3">
        <v>7</v>
      </c>
      <c r="D3" s="1">
        <v>579800000</v>
      </c>
      <c r="E3" s="1">
        <v>579800000</v>
      </c>
      <c r="F3" s="1">
        <f t="shared" ref="F3:F21" si="0">E3/1000000</f>
        <v>579.79999999999995</v>
      </c>
      <c r="G3" t="s">
        <v>14</v>
      </c>
      <c r="H3" t="s">
        <v>15</v>
      </c>
      <c r="I3" t="s">
        <v>90</v>
      </c>
      <c r="J3">
        <v>56</v>
      </c>
      <c r="K3" s="1">
        <v>10353571.428571429</v>
      </c>
      <c r="L3" s="2">
        <f t="shared" ref="L3:L21" si="1">K3/1000000</f>
        <v>10.35357142857143</v>
      </c>
    </row>
    <row r="4" spans="1:12" x14ac:dyDescent="0.2">
      <c r="A4">
        <v>3</v>
      </c>
      <c r="B4">
        <v>1</v>
      </c>
      <c r="C4">
        <v>2</v>
      </c>
      <c r="D4" s="1">
        <v>411000000</v>
      </c>
      <c r="E4" s="1">
        <v>560622615</v>
      </c>
      <c r="F4" s="1">
        <f t="shared" si="0"/>
        <v>560.622615</v>
      </c>
      <c r="G4" t="s">
        <v>19</v>
      </c>
      <c r="H4" t="s">
        <v>85</v>
      </c>
      <c r="I4" t="s">
        <v>91</v>
      </c>
      <c r="J4">
        <v>85</v>
      </c>
      <c r="K4" s="1">
        <v>6595560.176470588</v>
      </c>
      <c r="L4" s="2">
        <f t="shared" si="1"/>
        <v>6.5955601764705882</v>
      </c>
    </row>
    <row r="5" spans="1:12" x14ac:dyDescent="0.2">
      <c r="A5">
        <v>4</v>
      </c>
      <c r="B5">
        <v>2</v>
      </c>
      <c r="C5">
        <v>10</v>
      </c>
      <c r="D5" s="1">
        <v>397300000</v>
      </c>
      <c r="E5" s="1">
        <v>454751555</v>
      </c>
      <c r="F5" s="1">
        <f t="shared" si="0"/>
        <v>454.751555</v>
      </c>
      <c r="G5" t="s">
        <v>25</v>
      </c>
      <c r="H5" t="s">
        <v>26</v>
      </c>
      <c r="I5" t="s">
        <v>92</v>
      </c>
      <c r="J5">
        <v>156</v>
      </c>
      <c r="K5" s="1">
        <v>2915074.0705128205</v>
      </c>
      <c r="L5" s="2">
        <f t="shared" si="1"/>
        <v>2.9150740705128206</v>
      </c>
    </row>
    <row r="6" spans="1:12" x14ac:dyDescent="0.2">
      <c r="A6">
        <v>5</v>
      </c>
      <c r="B6">
        <v>2</v>
      </c>
      <c r="D6" s="1">
        <v>345675146</v>
      </c>
      <c r="E6" s="1">
        <v>402844849</v>
      </c>
      <c r="F6" s="1">
        <f t="shared" si="0"/>
        <v>402.84484900000001</v>
      </c>
      <c r="G6" t="s">
        <v>9</v>
      </c>
      <c r="H6" t="s">
        <v>30</v>
      </c>
      <c r="I6" t="s">
        <v>93</v>
      </c>
      <c r="J6">
        <v>53</v>
      </c>
      <c r="K6" s="1">
        <v>7600846.2075471701</v>
      </c>
      <c r="L6" s="2">
        <f t="shared" si="1"/>
        <v>7.6008462075471703</v>
      </c>
    </row>
    <row r="7" spans="1:12" x14ac:dyDescent="0.2">
      <c r="A7">
        <v>6</v>
      </c>
      <c r="B7">
        <v>2</v>
      </c>
      <c r="C7">
        <v>10</v>
      </c>
      <c r="D7" s="1">
        <v>305158363</v>
      </c>
      <c r="E7" s="1">
        <v>388978496</v>
      </c>
      <c r="F7" s="1">
        <f t="shared" si="0"/>
        <v>388.97849600000001</v>
      </c>
      <c r="G7" t="s">
        <v>19</v>
      </c>
      <c r="H7" t="s">
        <v>33</v>
      </c>
      <c r="I7" t="s">
        <v>94</v>
      </c>
      <c r="J7">
        <v>88</v>
      </c>
      <c r="K7" s="1">
        <v>4420210.1818181816</v>
      </c>
      <c r="L7" s="2">
        <f t="shared" si="1"/>
        <v>4.4202101818181818</v>
      </c>
    </row>
    <row r="8" spans="1:12" x14ac:dyDescent="0.2">
      <c r="A8">
        <v>7</v>
      </c>
      <c r="B8">
        <v>2</v>
      </c>
      <c r="D8" s="1">
        <v>280000000</v>
      </c>
      <c r="E8" s="1">
        <v>381932682</v>
      </c>
      <c r="F8" s="1">
        <f t="shared" si="0"/>
        <v>381.932682</v>
      </c>
      <c r="G8" t="s">
        <v>36</v>
      </c>
      <c r="H8" t="s">
        <v>37</v>
      </c>
      <c r="I8" t="s">
        <v>91</v>
      </c>
      <c r="J8">
        <v>131</v>
      </c>
      <c r="K8" s="1">
        <v>2915516.6564885494</v>
      </c>
      <c r="L8" s="2">
        <f t="shared" si="1"/>
        <v>2.9155166564885495</v>
      </c>
    </row>
    <row r="9" spans="1:12" x14ac:dyDescent="0.2">
      <c r="A9">
        <v>7</v>
      </c>
      <c r="D9" s="1">
        <v>257600000</v>
      </c>
      <c r="E9" s="1">
        <v>257600000</v>
      </c>
      <c r="F9" s="1">
        <f t="shared" si="0"/>
        <v>257.60000000000002</v>
      </c>
      <c r="G9" t="s">
        <v>25</v>
      </c>
      <c r="H9" t="s">
        <v>84</v>
      </c>
      <c r="I9" t="s">
        <v>89</v>
      </c>
      <c r="J9">
        <v>41</v>
      </c>
      <c r="K9" s="1">
        <v>6282926.8292682925</v>
      </c>
      <c r="L9" s="2">
        <f t="shared" si="1"/>
        <v>6.2829268292682929</v>
      </c>
    </row>
    <row r="10" spans="1:12" x14ac:dyDescent="0.2">
      <c r="A10">
        <v>9</v>
      </c>
      <c r="D10" s="1">
        <v>256084556</v>
      </c>
      <c r="E10" s="1">
        <v>312258401</v>
      </c>
      <c r="F10" s="1">
        <f t="shared" si="0"/>
        <v>312.25840099999999</v>
      </c>
      <c r="G10" t="s">
        <v>14</v>
      </c>
      <c r="H10" t="s">
        <v>41</v>
      </c>
      <c r="I10" t="s">
        <v>95</v>
      </c>
      <c r="J10">
        <v>49</v>
      </c>
      <c r="K10" s="1">
        <v>6372620.4285714282</v>
      </c>
      <c r="L10" s="2">
        <f t="shared" si="1"/>
        <v>6.3726204285714285</v>
      </c>
    </row>
    <row r="11" spans="1:12" x14ac:dyDescent="0.2">
      <c r="A11">
        <v>10</v>
      </c>
      <c r="D11" s="1">
        <v>250400000</v>
      </c>
      <c r="E11" s="1">
        <v>309141878</v>
      </c>
      <c r="F11" s="1">
        <f t="shared" si="0"/>
        <v>309.14187800000002</v>
      </c>
      <c r="G11" t="s">
        <v>9</v>
      </c>
      <c r="H11" t="s">
        <v>43</v>
      </c>
      <c r="I11" t="s">
        <v>96</v>
      </c>
      <c r="J11">
        <v>85</v>
      </c>
      <c r="K11" s="1">
        <v>3636963.2705882355</v>
      </c>
      <c r="L11" s="2">
        <f t="shared" si="1"/>
        <v>3.6369632705882355</v>
      </c>
    </row>
    <row r="12" spans="1:12" x14ac:dyDescent="0.2">
      <c r="A12">
        <v>11</v>
      </c>
      <c r="D12" s="1">
        <v>229100000</v>
      </c>
      <c r="E12" s="1">
        <v>283202896</v>
      </c>
      <c r="F12" s="1">
        <f t="shared" si="0"/>
        <v>283.20289600000001</v>
      </c>
      <c r="G12" t="s">
        <v>14</v>
      </c>
      <c r="H12" t="s">
        <v>46</v>
      </c>
      <c r="I12" t="s">
        <v>97</v>
      </c>
      <c r="J12">
        <v>132</v>
      </c>
      <c r="K12" s="1">
        <v>2145476.4848484849</v>
      </c>
      <c r="L12" s="2">
        <f t="shared" si="1"/>
        <v>2.1454764848484849</v>
      </c>
    </row>
    <row r="13" spans="1:12" x14ac:dyDescent="0.2">
      <c r="A13">
        <v>12</v>
      </c>
      <c r="C13">
        <v>14</v>
      </c>
      <c r="D13" s="1">
        <v>227400000</v>
      </c>
      <c r="E13" s="1">
        <v>295301479</v>
      </c>
      <c r="F13" s="1">
        <f t="shared" si="0"/>
        <v>295.30147899999997</v>
      </c>
      <c r="G13" t="s">
        <v>50</v>
      </c>
      <c r="H13" t="s">
        <v>87</v>
      </c>
      <c r="I13" t="s">
        <v>98</v>
      </c>
      <c r="J13">
        <v>203</v>
      </c>
      <c r="K13" s="1">
        <v>1454687.0886699508</v>
      </c>
      <c r="L13" s="2">
        <f t="shared" si="1"/>
        <v>1.4546870886699508</v>
      </c>
    </row>
    <row r="14" spans="1:12" x14ac:dyDescent="0.2">
      <c r="A14">
        <v>13</v>
      </c>
      <c r="D14" s="1">
        <v>204000000</v>
      </c>
      <c r="E14" s="1">
        <v>251856802</v>
      </c>
      <c r="F14" s="1">
        <f t="shared" si="0"/>
        <v>251.85680199999999</v>
      </c>
      <c r="G14" t="s">
        <v>54</v>
      </c>
      <c r="H14" t="s">
        <v>55</v>
      </c>
      <c r="I14" t="s">
        <v>99</v>
      </c>
      <c r="J14">
        <v>151</v>
      </c>
      <c r="K14" s="1">
        <v>1667925.8410596026</v>
      </c>
      <c r="L14" s="2">
        <f t="shared" si="1"/>
        <v>1.6679258410596025</v>
      </c>
    </row>
    <row r="15" spans="1:12" x14ac:dyDescent="0.2">
      <c r="A15">
        <v>14</v>
      </c>
      <c r="B15">
        <v>1</v>
      </c>
      <c r="D15" s="1">
        <v>200000000</v>
      </c>
      <c r="E15" s="1">
        <v>299676265</v>
      </c>
      <c r="F15" s="1">
        <f t="shared" si="0"/>
        <v>299.676265</v>
      </c>
      <c r="G15" t="s">
        <v>59</v>
      </c>
      <c r="H15" t="s">
        <v>86</v>
      </c>
      <c r="I15" t="s">
        <v>100</v>
      </c>
      <c r="J15">
        <v>325</v>
      </c>
      <c r="K15" s="1">
        <v>922080.81538461533</v>
      </c>
      <c r="L15" s="2">
        <f t="shared" si="1"/>
        <v>0.92208081538461528</v>
      </c>
    </row>
    <row r="16" spans="1:12" x14ac:dyDescent="0.2">
      <c r="A16">
        <v>15</v>
      </c>
      <c r="B16">
        <v>2</v>
      </c>
      <c r="D16" s="1">
        <v>194000000</v>
      </c>
      <c r="E16" s="1">
        <v>281617035</v>
      </c>
      <c r="F16" s="1">
        <f t="shared" si="0"/>
        <v>281.61703499999999</v>
      </c>
      <c r="G16" t="s">
        <v>19</v>
      </c>
      <c r="H16" t="s">
        <v>64</v>
      </c>
      <c r="I16" t="s">
        <v>101</v>
      </c>
      <c r="J16">
        <v>60</v>
      </c>
      <c r="K16" s="1">
        <v>4693617.25</v>
      </c>
      <c r="L16" s="2">
        <f t="shared" si="1"/>
        <v>4.69361725</v>
      </c>
    </row>
    <row r="17" spans="1:12" x14ac:dyDescent="0.2">
      <c r="A17">
        <v>16</v>
      </c>
      <c r="D17" s="1">
        <v>184000000</v>
      </c>
      <c r="E17" s="1">
        <v>227452347</v>
      </c>
      <c r="F17" s="1">
        <f t="shared" si="0"/>
        <v>227.452347</v>
      </c>
      <c r="G17" t="s">
        <v>25</v>
      </c>
      <c r="H17" t="s">
        <v>66</v>
      </c>
      <c r="I17" t="s">
        <v>97</v>
      </c>
      <c r="J17">
        <v>142</v>
      </c>
      <c r="K17" s="1">
        <v>1601777.0915492957</v>
      </c>
      <c r="L17" s="2">
        <f t="shared" si="1"/>
        <v>1.6017770915492957</v>
      </c>
    </row>
    <row r="18" spans="1:12" x14ac:dyDescent="0.2">
      <c r="A18">
        <v>17</v>
      </c>
      <c r="D18" s="1">
        <v>170000000</v>
      </c>
      <c r="E18" s="1">
        <v>213568571</v>
      </c>
      <c r="F18" s="1">
        <f t="shared" si="0"/>
        <v>213.56857099999999</v>
      </c>
      <c r="G18" t="s">
        <v>50</v>
      </c>
      <c r="H18" t="s">
        <v>68</v>
      </c>
      <c r="I18" t="s">
        <v>102</v>
      </c>
      <c r="J18">
        <v>98</v>
      </c>
      <c r="K18" s="1">
        <v>2179271.1326530613</v>
      </c>
      <c r="L18" s="2">
        <f t="shared" si="1"/>
        <v>2.1792711326530614</v>
      </c>
    </row>
    <row r="19" spans="1:12" x14ac:dyDescent="0.2">
      <c r="A19">
        <v>18</v>
      </c>
      <c r="D19" s="1">
        <v>169800000</v>
      </c>
      <c r="E19" s="1">
        <v>207046755</v>
      </c>
      <c r="F19" s="1">
        <f t="shared" si="0"/>
        <v>207.04675499999999</v>
      </c>
      <c r="G19" t="s">
        <v>19</v>
      </c>
      <c r="H19" t="s">
        <v>71</v>
      </c>
      <c r="I19" t="s">
        <v>103</v>
      </c>
      <c r="J19">
        <v>82</v>
      </c>
      <c r="K19" s="1">
        <v>2524960.4268292682</v>
      </c>
      <c r="L19" s="2">
        <f t="shared" si="1"/>
        <v>2.524960426829268</v>
      </c>
    </row>
    <row r="20" spans="1:12" x14ac:dyDescent="0.2">
      <c r="A20">
        <v>19</v>
      </c>
      <c r="D20" s="1">
        <v>167700000</v>
      </c>
      <c r="E20" s="1">
        <v>204486106</v>
      </c>
      <c r="F20" s="1">
        <f t="shared" si="0"/>
        <v>204.48610600000001</v>
      </c>
      <c r="G20" t="s">
        <v>75</v>
      </c>
      <c r="H20" t="s">
        <v>76</v>
      </c>
      <c r="I20" t="s">
        <v>104</v>
      </c>
      <c r="J20">
        <v>121</v>
      </c>
      <c r="K20" s="1">
        <v>1689967.8181818181</v>
      </c>
      <c r="L20" s="2">
        <f t="shared" si="1"/>
        <v>1.6899678181818181</v>
      </c>
    </row>
    <row r="21" spans="1:12" x14ac:dyDescent="0.2">
      <c r="A21">
        <v>20</v>
      </c>
      <c r="D21" s="1">
        <v>150000000</v>
      </c>
      <c r="E21" s="1">
        <v>185423109</v>
      </c>
      <c r="F21" s="1">
        <f t="shared" si="0"/>
        <v>185.42310900000001</v>
      </c>
      <c r="G21" t="s">
        <v>9</v>
      </c>
      <c r="H21" t="s">
        <v>79</v>
      </c>
      <c r="I21" t="s">
        <v>97</v>
      </c>
      <c r="J21">
        <v>86</v>
      </c>
      <c r="K21" s="1">
        <v>2156082.6627906975</v>
      </c>
      <c r="L21" s="2">
        <f t="shared" si="1"/>
        <v>2.1560826627906975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6ABC7-5BD7-534E-9BD1-FCFE107DA64A}">
  <dimension ref="A3:B33"/>
  <sheetViews>
    <sheetView tabSelected="1" topLeftCell="A2" workbookViewId="0">
      <selection activeCell="B10" sqref="B10"/>
    </sheetView>
  </sheetViews>
  <sheetFormatPr baseColWidth="10" defaultRowHeight="16" x14ac:dyDescent="0.2"/>
  <cols>
    <col min="1" max="1" width="33.33203125" bestFit="1" customWidth="1"/>
    <col min="2" max="2" width="23.1640625" bestFit="1" customWidth="1"/>
    <col min="3" max="4" width="5.33203125" bestFit="1" customWidth="1"/>
    <col min="5" max="5" width="6.33203125" bestFit="1" customWidth="1"/>
    <col min="6" max="19" width="5.33203125" bestFit="1" customWidth="1"/>
    <col min="20" max="20" width="10.83203125" bestFit="1" customWidth="1"/>
    <col min="21" max="21" width="13.5" bestFit="1" customWidth="1"/>
    <col min="22" max="22" width="6.83203125" bestFit="1" customWidth="1"/>
    <col min="23" max="24" width="5.33203125" bestFit="1" customWidth="1"/>
    <col min="25" max="25" width="9.33203125" bestFit="1" customWidth="1"/>
    <col min="26" max="26" width="13.33203125" bestFit="1" customWidth="1"/>
    <col min="27" max="27" width="6.33203125" bestFit="1" customWidth="1"/>
    <col min="28" max="29" width="5.33203125" bestFit="1" customWidth="1"/>
    <col min="30" max="30" width="15.83203125" bestFit="1" customWidth="1"/>
    <col min="31" max="31" width="10.83203125" bestFit="1" customWidth="1"/>
    <col min="32" max="32" width="9.83203125" bestFit="1" customWidth="1"/>
    <col min="33" max="33" width="8.83203125" bestFit="1" customWidth="1"/>
    <col min="34" max="34" width="6.33203125" bestFit="1" customWidth="1"/>
    <col min="35" max="35" width="8.83203125" bestFit="1" customWidth="1"/>
    <col min="36" max="36" width="9.83203125" bestFit="1" customWidth="1"/>
    <col min="37" max="37" width="8.83203125" bestFit="1" customWidth="1"/>
    <col min="38" max="38" width="6.33203125" bestFit="1" customWidth="1"/>
    <col min="39" max="39" width="8.83203125" bestFit="1" customWidth="1"/>
  </cols>
  <sheetData>
    <row r="3" spans="1:2" x14ac:dyDescent="0.2">
      <c r="A3" s="3" t="s">
        <v>107</v>
      </c>
      <c r="B3" t="s">
        <v>109</v>
      </c>
    </row>
    <row r="4" spans="1:2" x14ac:dyDescent="0.2">
      <c r="A4" s="4" t="s">
        <v>9</v>
      </c>
      <c r="B4" s="2">
        <v>27.322463569497533</v>
      </c>
    </row>
    <row r="5" spans="1:2" x14ac:dyDescent="0.2">
      <c r="A5" s="5" t="s">
        <v>30</v>
      </c>
      <c r="B5" s="2">
        <v>7.6008462075471703</v>
      </c>
    </row>
    <row r="6" spans="1:2" x14ac:dyDescent="0.2">
      <c r="A6" s="5" t="s">
        <v>43</v>
      </c>
      <c r="B6" s="2">
        <v>3.6369632705882355</v>
      </c>
    </row>
    <row r="7" spans="1:2" x14ac:dyDescent="0.2">
      <c r="A7" s="5" t="s">
        <v>83</v>
      </c>
      <c r="B7" s="2">
        <v>13.928571428571429</v>
      </c>
    </row>
    <row r="8" spans="1:2" x14ac:dyDescent="0.2">
      <c r="A8" s="5" t="s">
        <v>79</v>
      </c>
      <c r="B8" s="2">
        <v>2.1560826627906975</v>
      </c>
    </row>
    <row r="9" spans="1:2" x14ac:dyDescent="0.2">
      <c r="A9" s="4" t="s">
        <v>25</v>
      </c>
      <c r="B9" s="2">
        <v>10.79977799133041</v>
      </c>
    </row>
    <row r="10" spans="1:2" x14ac:dyDescent="0.2">
      <c r="A10" s="5" t="s">
        <v>26</v>
      </c>
      <c r="B10" s="2">
        <v>2.9150740705128206</v>
      </c>
    </row>
    <row r="11" spans="1:2" x14ac:dyDescent="0.2">
      <c r="A11" s="5" t="s">
        <v>84</v>
      </c>
      <c r="B11" s="2">
        <v>6.2829268292682929</v>
      </c>
    </row>
    <row r="12" spans="1:2" x14ac:dyDescent="0.2">
      <c r="A12" s="5" t="s">
        <v>66</v>
      </c>
      <c r="B12" s="2">
        <v>1.6017770915492957</v>
      </c>
    </row>
    <row r="13" spans="1:2" x14ac:dyDescent="0.2">
      <c r="A13" s="4" t="s">
        <v>19</v>
      </c>
      <c r="B13" s="2">
        <v>18.234348035118039</v>
      </c>
    </row>
    <row r="14" spans="1:2" x14ac:dyDescent="0.2">
      <c r="A14" s="5" t="s">
        <v>64</v>
      </c>
      <c r="B14" s="2">
        <v>4.69361725</v>
      </c>
    </row>
    <row r="15" spans="1:2" x14ac:dyDescent="0.2">
      <c r="A15" s="5" t="s">
        <v>71</v>
      </c>
      <c r="B15" s="2">
        <v>2.524960426829268</v>
      </c>
    </row>
    <row r="16" spans="1:2" x14ac:dyDescent="0.2">
      <c r="A16" s="5" t="s">
        <v>85</v>
      </c>
      <c r="B16" s="2">
        <v>6.5955601764705882</v>
      </c>
    </row>
    <row r="17" spans="1:2" x14ac:dyDescent="0.2">
      <c r="A17" s="5" t="s">
        <v>33</v>
      </c>
      <c r="B17" s="2">
        <v>4.4202101818181818</v>
      </c>
    </row>
    <row r="18" spans="1:2" x14ac:dyDescent="0.2">
      <c r="A18" s="4" t="s">
        <v>50</v>
      </c>
      <c r="B18" s="2">
        <v>3.6339582213230122</v>
      </c>
    </row>
    <row r="19" spans="1:2" x14ac:dyDescent="0.2">
      <c r="A19" s="5" t="s">
        <v>68</v>
      </c>
      <c r="B19" s="2">
        <v>2.1792711326530614</v>
      </c>
    </row>
    <row r="20" spans="1:2" x14ac:dyDescent="0.2">
      <c r="A20" s="5" t="s">
        <v>87</v>
      </c>
      <c r="B20" s="2">
        <v>1.4546870886699508</v>
      </c>
    </row>
    <row r="21" spans="1:2" x14ac:dyDescent="0.2">
      <c r="A21" s="4" t="s">
        <v>54</v>
      </c>
      <c r="B21" s="2">
        <v>1.6679258410596025</v>
      </c>
    </row>
    <row r="22" spans="1:2" x14ac:dyDescent="0.2">
      <c r="A22" s="5" t="s">
        <v>55</v>
      </c>
      <c r="B22" s="2">
        <v>1.6679258410596025</v>
      </c>
    </row>
    <row r="23" spans="1:2" x14ac:dyDescent="0.2">
      <c r="A23" s="4" t="s">
        <v>59</v>
      </c>
      <c r="B23" s="2">
        <v>0.92208081538461528</v>
      </c>
    </row>
    <row r="24" spans="1:2" x14ac:dyDescent="0.2">
      <c r="A24" s="5" t="s">
        <v>86</v>
      </c>
      <c r="B24" s="2">
        <v>0.92208081538461528</v>
      </c>
    </row>
    <row r="25" spans="1:2" x14ac:dyDescent="0.2">
      <c r="A25" s="4" t="s">
        <v>36</v>
      </c>
      <c r="B25" s="2">
        <v>2.9155166564885495</v>
      </c>
    </row>
    <row r="26" spans="1:2" x14ac:dyDescent="0.2">
      <c r="A26" s="5" t="s">
        <v>37</v>
      </c>
      <c r="B26" s="2">
        <v>2.9155166564885495</v>
      </c>
    </row>
    <row r="27" spans="1:2" x14ac:dyDescent="0.2">
      <c r="A27" s="4" t="s">
        <v>14</v>
      </c>
      <c r="B27" s="2">
        <v>18.871668341991342</v>
      </c>
    </row>
    <row r="28" spans="1:2" x14ac:dyDescent="0.2">
      <c r="A28" s="5" t="s">
        <v>15</v>
      </c>
      <c r="B28" s="2">
        <v>10.35357142857143</v>
      </c>
    </row>
    <row r="29" spans="1:2" x14ac:dyDescent="0.2">
      <c r="A29" s="5" t="s">
        <v>41</v>
      </c>
      <c r="B29" s="2">
        <v>6.3726204285714285</v>
      </c>
    </row>
    <row r="30" spans="1:2" x14ac:dyDescent="0.2">
      <c r="A30" s="5" t="s">
        <v>46</v>
      </c>
      <c r="B30" s="2">
        <v>2.1454764848484849</v>
      </c>
    </row>
    <row r="31" spans="1:2" x14ac:dyDescent="0.2">
      <c r="A31" s="4" t="s">
        <v>75</v>
      </c>
      <c r="B31" s="2">
        <v>1.6899678181818181</v>
      </c>
    </row>
    <row r="32" spans="1:2" x14ac:dyDescent="0.2">
      <c r="A32" s="5" t="s">
        <v>76</v>
      </c>
      <c r="B32" s="2">
        <v>1.6899678181818181</v>
      </c>
    </row>
    <row r="33" spans="1:2" x14ac:dyDescent="0.2">
      <c r="A33" s="4" t="s">
        <v>108</v>
      </c>
      <c r="B33" s="2">
        <v>86.057707290374921</v>
      </c>
    </row>
  </sheetData>
  <pageMargins left="0.7" right="0.7" top="0.75" bottom="0.75" header="0.3" footer="0.3"/>
  <drawing r:id="rId2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raw_data_clean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Pokhrel</dc:creator>
  <cp:lastModifiedBy>grpokhral@gmail.com</cp:lastModifiedBy>
  <dcterms:created xsi:type="dcterms:W3CDTF">2025-04-30T03:43:46Z</dcterms:created>
  <dcterms:modified xsi:type="dcterms:W3CDTF">2025-04-30T03:51:39Z</dcterms:modified>
</cp:coreProperties>
</file>